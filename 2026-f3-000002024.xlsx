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2026-F3-0000121" sheetId="1" state="visible" r:id="rId1"/>
  </sheets>
  <definedNames>
    <definedName name="_xlnm.Print_Area" localSheetId="0">'2026-F3-0000121'!$B$1:$T$94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7" fillId="0" borderId="0"/>
    <xf numFmtId="44" fontId="7" fillId="0" borderId="0"/>
  </cellStyleXfs>
  <cellXfs count="65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5" pivotButton="0" quotePrefix="0" xfId="0"/>
    <xf numFmtId="0" fontId="1" fillId="0" borderId="16" pivotButton="0" quotePrefix="0" xfId="0"/>
    <xf numFmtId="0" fontId="4" fillId="0" borderId="2" pivotButton="0" quotePrefix="0" xfId="0"/>
    <xf numFmtId="0" fontId="4" fillId="0" borderId="3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4" fontId="4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18" fontId="4" fillId="0" borderId="1" applyAlignment="1" pivotButton="0" quotePrefix="0" xfId="0">
      <alignment horizontal="center" vertical="center" wrapText="1"/>
    </xf>
    <xf numFmtId="20" fontId="4" fillId="0" borderId="1" applyAlignment="1" pivotButton="0" quotePrefix="0" xfId="0">
      <alignment horizontal="center" vertical="center" wrapText="1"/>
    </xf>
    <xf numFmtId="18" fontId="4" fillId="0" borderId="1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/>
    </xf>
    <xf numFmtId="164" fontId="1" fillId="0" borderId="17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1">
      <alignment horizontal="center" vertical="center"/>
    </xf>
    <xf numFmtId="0" fontId="2" fillId="0" borderId="19" applyAlignment="1" pivotButton="0" quotePrefix="0" xfId="0">
      <alignment horizontal="center" vertical="center"/>
    </xf>
    <xf numFmtId="14" fontId="4" fillId="0" borderId="2" applyAlignment="1" pivotButton="0" quotePrefix="0" xfId="0">
      <alignment horizontal="left" vertical="center"/>
    </xf>
    <xf numFmtId="14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0" borderId="1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2" pivotButton="0" quotePrefix="0" xfId="0"/>
    <xf numFmtId="0" fontId="0" fillId="0" borderId="18" pivotButton="0" quotePrefix="0" xfId="0"/>
    <xf numFmtId="0" fontId="0" fillId="0" borderId="13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19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19"/>
  <sheetViews>
    <sheetView tabSelected="1" zoomScale="130" zoomScaleNormal="130" workbookViewId="0">
      <selection activeCell="B1" sqref="B1:R1"/>
    </sheetView>
  </sheetViews>
  <sheetFormatPr baseColWidth="8" defaultRowHeight="14.4"/>
  <cols>
    <col width="13.5546875" customWidth="1" style="20" min="1" max="1"/>
    <col width="15.109375" customWidth="1" min="7" max="7"/>
    <col width="8.5546875" customWidth="1" min="10" max="10"/>
    <col width="9.5546875" bestFit="1" customWidth="1" min="11" max="11"/>
    <col width="11.5546875" bestFit="1" customWidth="1" min="19" max="19"/>
  </cols>
  <sheetData>
    <row r="1" ht="15.6" customHeight="1">
      <c r="B1" s="34" t="inlineStr">
        <is>
          <t>MULTI WIRE   2026-F3-0000351  SET PERFOMANCE REPORT  NEW  (AS PER WIRE)           INV:  2026-F3-0000351</t>
        </is>
      </c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4" t="n"/>
    </row>
    <row r="2" ht="16.2" customHeight="1" thickBo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17" t="n"/>
    </row>
    <row r="3" ht="15.6" customHeight="1">
      <c r="B3" s="2" t="n"/>
      <c r="C3" s="2" t="n"/>
      <c r="D3" s="2" t="n"/>
      <c r="E3" s="2" t="n"/>
      <c r="F3" s="2" t="n"/>
      <c r="G3" s="2" t="n"/>
      <c r="H3" s="7" t="inlineStr">
        <is>
          <t>NEW SET SQMT</t>
        </is>
      </c>
      <c r="I3" s="8" t="n"/>
      <c r="J3" s="9" t="n"/>
      <c r="K3" s="25">
        <f>S72</f>
        <v/>
      </c>
      <c r="L3" s="2" t="n"/>
      <c r="M3" s="2" t="n"/>
      <c r="N3" s="2" t="n"/>
      <c r="O3" s="2" t="n"/>
      <c r="P3" s="2" t="n"/>
      <c r="Q3" s="2" t="n"/>
      <c r="R3" s="2" t="n"/>
      <c r="S3" s="17" t="n"/>
    </row>
    <row r="4" ht="16.2" customHeight="1" thickBot="1">
      <c r="B4" s="2" t="n"/>
      <c r="C4" s="2" t="n"/>
      <c r="D4" s="2" t="n"/>
      <c r="E4" s="2" t="n"/>
      <c r="F4" s="2" t="n"/>
      <c r="G4" s="2" t="n"/>
      <c r="H4" s="10" t="inlineStr">
        <is>
          <t xml:space="preserve">AFTER REPLASTIFICATION </t>
        </is>
      </c>
      <c r="I4" s="11" t="n"/>
      <c r="J4" s="11" t="n"/>
      <c r="K4" s="26">
        <f>S119</f>
        <v/>
      </c>
      <c r="L4" s="2" t="n"/>
      <c r="M4" s="2" t="n"/>
      <c r="N4" s="2" t="n"/>
      <c r="O4" s="2" t="n"/>
      <c r="P4" s="2" t="n"/>
      <c r="Q4" s="2" t="n"/>
      <c r="R4" s="2" t="n"/>
      <c r="S4" s="17" t="n"/>
    </row>
    <row r="5" ht="15.6" customHeight="1">
      <c r="B5" s="2" t="n"/>
      <c r="C5" s="2" t="n"/>
      <c r="D5" s="2" t="n"/>
      <c r="E5" s="2" t="n"/>
      <c r="F5" s="2" t="n"/>
      <c r="G5" s="2" t="n"/>
      <c r="H5" s="36" t="inlineStr">
        <is>
          <t>TOTAL SQMT</t>
        </is>
      </c>
      <c r="I5" s="55" t="n"/>
      <c r="J5" s="56" t="n"/>
      <c r="K5" s="27">
        <f>SUM(K3:K4)</f>
        <v/>
      </c>
      <c r="L5" s="2" t="n"/>
      <c r="M5" s="2" t="n"/>
      <c r="N5" s="2" t="n"/>
      <c r="O5" s="2" t="n"/>
      <c r="P5" s="2" t="n"/>
      <c r="Q5" s="2" t="n"/>
      <c r="R5" s="2" t="n"/>
      <c r="S5" s="17" t="n"/>
    </row>
    <row r="6" ht="15" customHeight="1">
      <c r="A6" s="28" t="inlineStr">
        <is>
          <t>SL.NO</t>
        </is>
      </c>
      <c r="B6" s="57" t="inlineStr">
        <is>
          <t>DATE</t>
        </is>
      </c>
      <c r="C6" s="58" t="inlineStr">
        <is>
          <t>WORKING HOURS</t>
        </is>
      </c>
      <c r="D6" s="58" t="inlineStr">
        <is>
          <t>START TIME</t>
        </is>
      </c>
      <c r="E6" s="58" t="inlineStr">
        <is>
          <t>END TIME</t>
        </is>
      </c>
      <c r="F6" s="58" t="inlineStr">
        <is>
          <t>BLOCK .NO</t>
        </is>
      </c>
      <c r="G6" s="57" t="inlineStr">
        <is>
          <t>MATERIAL</t>
        </is>
      </c>
      <c r="H6" s="48" t="inlineStr">
        <is>
          <t>HARDNESS</t>
        </is>
      </c>
      <c r="I6" s="48" t="inlineStr">
        <is>
          <t>BLOCK MEASURES</t>
        </is>
      </c>
      <c r="J6" s="54" t="n"/>
      <c r="K6" s="58" t="inlineStr">
        <is>
          <t>NO.OF WIRES</t>
        </is>
      </c>
      <c r="L6" s="58" t="inlineStr">
        <is>
          <t>DOWN SPEED cm./h.</t>
        </is>
      </c>
      <c r="M6" s="58" t="inlineStr">
        <is>
          <t>PERIPHER SPEED</t>
        </is>
      </c>
      <c r="N6" s="58" t="inlineStr">
        <is>
          <t>TENS.   (BAR)</t>
        </is>
      </c>
      <c r="O6" s="58" t="inlineStr">
        <is>
          <t>BEAD'S  DIAM.</t>
        </is>
      </c>
      <c r="P6" s="58" t="inlineStr">
        <is>
          <t>AMPERE MAX</t>
        </is>
      </c>
      <c r="Q6" s="57" t="inlineStr">
        <is>
          <t>BROKEN WIRE CODE</t>
        </is>
      </c>
      <c r="R6" s="59" t="n"/>
    </row>
    <row r="7">
      <c r="A7" s="60" t="n"/>
      <c r="B7" s="60" t="n"/>
      <c r="C7" s="60" t="n"/>
      <c r="D7" s="60" t="n"/>
      <c r="E7" s="60" t="n"/>
      <c r="F7" s="60" t="n"/>
      <c r="G7" s="60" t="n"/>
      <c r="H7" s="60" t="n"/>
      <c r="I7" s="15" t="inlineStr">
        <is>
          <t>L</t>
        </is>
      </c>
      <c r="J7" s="41" t="inlineStr">
        <is>
          <t>H</t>
        </is>
      </c>
      <c r="K7" s="60" t="n"/>
      <c r="L7" s="60" t="n"/>
      <c r="M7" s="60" t="n"/>
      <c r="N7" s="60" t="n"/>
      <c r="O7" s="60" t="n"/>
      <c r="P7" s="60" t="n"/>
      <c r="Q7" s="61" t="n"/>
      <c r="R7" s="62" t="n"/>
    </row>
    <row r="8">
      <c r="A8" s="28" t="n">
        <v>1</v>
      </c>
      <c r="B8" s="19" t="n">
        <v>46188</v>
      </c>
      <c r="C8" s="15" t="n">
        <v>59273.25</v>
      </c>
      <c r="D8" s="21" t="n">
        <v>0.5625</v>
      </c>
      <c r="E8" s="22" t="n">
        <v>0.06944444444444445</v>
      </c>
      <c r="F8" s="15" t="inlineStr">
        <is>
          <t>5808-A</t>
        </is>
      </c>
      <c r="G8" s="15" t="inlineStr">
        <is>
          <t>Steel Grey</t>
        </is>
      </c>
      <c r="H8" s="15" t="n"/>
      <c r="I8" s="15" t="n">
        <v>320</v>
      </c>
      <c r="J8" s="15" t="n">
        <v>190</v>
      </c>
      <c r="K8" s="15" t="n">
        <v>51</v>
      </c>
      <c r="L8" s="15" t="n">
        <v>20</v>
      </c>
      <c r="M8" s="15" t="n">
        <v>27</v>
      </c>
      <c r="N8" s="15" t="n">
        <v>23</v>
      </c>
      <c r="O8" s="15" t="n"/>
      <c r="P8" s="15" t="n">
        <v>230</v>
      </c>
      <c r="Q8" s="13" t="n"/>
      <c r="R8" s="14" t="n"/>
      <c r="S8" s="17">
        <f>(I8*J8/10000)*K8</f>
        <v/>
      </c>
    </row>
    <row r="9">
      <c r="A9" s="60" t="n"/>
      <c r="B9" s="31" t="inlineStr">
        <is>
          <t>NOTE:</t>
        </is>
      </c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4" t="n"/>
      <c r="P9" s="3" t="n"/>
      <c r="Q9" s="4" t="n"/>
      <c r="R9" s="6" t="n"/>
      <c r="S9" s="17" t="n"/>
    </row>
    <row r="10">
      <c r="A10" s="28" t="n">
        <v>2</v>
      </c>
      <c r="B10" s="19" t="n">
        <v>46189</v>
      </c>
      <c r="C10" s="15" t="n">
        <v>59284.68</v>
      </c>
      <c r="D10" s="21" t="n">
        <v>0.2083333333333333</v>
      </c>
      <c r="E10" s="22" t="n">
        <v>0.7222222222222222</v>
      </c>
      <c r="F10" s="15" t="n">
        <v>5839</v>
      </c>
      <c r="G10" s="15" t="inlineStr">
        <is>
          <t>Black Galaxy</t>
        </is>
      </c>
      <c r="H10" s="15" t="n"/>
      <c r="I10" s="15" t="n">
        <v>305</v>
      </c>
      <c r="J10" s="15" t="n">
        <v>185</v>
      </c>
      <c r="K10" s="15" t="n">
        <v>50</v>
      </c>
      <c r="L10" s="15" t="n">
        <v>20</v>
      </c>
      <c r="M10" s="15" t="n">
        <v>28</v>
      </c>
      <c r="N10" s="15" t="n">
        <v>23</v>
      </c>
      <c r="O10" s="15" t="n"/>
      <c r="P10" s="15" t="n">
        <v>225</v>
      </c>
      <c r="Q10" s="13" t="n"/>
      <c r="R10" s="14" t="n"/>
      <c r="S10" s="17">
        <f>(I10*J10/10000)*K10</f>
        <v/>
      </c>
    </row>
    <row r="11">
      <c r="A11" s="60" t="n"/>
      <c r="B11" s="31" t="inlineStr">
        <is>
          <t>NOTE:</t>
        </is>
      </c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4" t="n"/>
      <c r="P11" s="3" t="n"/>
      <c r="Q11" s="33" t="n"/>
      <c r="R11" s="54" t="n"/>
      <c r="S11" s="17" t="n"/>
    </row>
    <row r="12">
      <c r="A12" s="28" t="n">
        <v>3</v>
      </c>
      <c r="B12" s="19" t="n">
        <v>46189</v>
      </c>
      <c r="C12" s="15" t="n">
        <v>59295.63</v>
      </c>
      <c r="D12" s="21" t="n">
        <v>0.875</v>
      </c>
      <c r="E12" s="22" t="n">
        <v>0.625</v>
      </c>
      <c r="F12" s="15" t="n">
        <v>5751</v>
      </c>
      <c r="G12" s="15" t="inlineStr">
        <is>
          <t>Surf Green</t>
        </is>
      </c>
      <c r="H12" s="15" t="n"/>
      <c r="I12" s="15" t="n">
        <v>300</v>
      </c>
      <c r="J12" s="15" t="n">
        <v>190</v>
      </c>
      <c r="K12" s="15" t="n">
        <v>56</v>
      </c>
      <c r="L12" s="15" t="n">
        <v>16</v>
      </c>
      <c r="M12" s="15" t="n">
        <v>30</v>
      </c>
      <c r="N12" s="15" t="n">
        <v>23</v>
      </c>
      <c r="O12" s="15" t="n"/>
      <c r="P12" s="15" t="n">
        <v>260</v>
      </c>
      <c r="Q12" s="13" t="n"/>
      <c r="R12" s="14" t="n"/>
      <c r="S12" s="17">
        <f>(I12*J12/10000)*K12</f>
        <v/>
      </c>
    </row>
    <row r="13">
      <c r="A13" s="60" t="n"/>
      <c r="B13" s="31" t="inlineStr">
        <is>
          <t>NOTE:</t>
        </is>
      </c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4" t="n"/>
      <c r="P13" s="4" t="n"/>
      <c r="Q13" s="5" t="n"/>
      <c r="R13" s="6" t="n"/>
      <c r="S13" s="17" t="n"/>
    </row>
    <row r="14">
      <c r="A14" s="28" t="n">
        <v>4</v>
      </c>
      <c r="B14" s="19" t="n">
        <v>46190</v>
      </c>
      <c r="C14" s="15" t="n">
        <v>59310.48</v>
      </c>
      <c r="D14" s="24" t="n">
        <v>0.7326388888888888</v>
      </c>
      <c r="E14" s="22" t="n">
        <v>0.25</v>
      </c>
      <c r="F14" s="15" t="n">
        <v>5837</v>
      </c>
      <c r="G14" s="15" t="inlineStr">
        <is>
          <t>Black Galaxy</t>
        </is>
      </c>
      <c r="H14" s="15" t="n"/>
      <c r="I14" s="15" t="n">
        <v>290</v>
      </c>
      <c r="J14" s="15" t="n">
        <v>185</v>
      </c>
      <c r="K14" s="15" t="n">
        <v>60</v>
      </c>
      <c r="L14" s="15" t="n">
        <v>20</v>
      </c>
      <c r="M14" s="15" t="n">
        <v>30</v>
      </c>
      <c r="N14" s="15" t="n">
        <v>23</v>
      </c>
      <c r="O14" s="15" t="n"/>
      <c r="P14" s="15" t="n">
        <v>240</v>
      </c>
      <c r="Q14" s="13" t="n"/>
      <c r="R14" s="14" t="n"/>
      <c r="S14" s="17">
        <f>(I14*J14/10000)*K14</f>
        <v/>
      </c>
    </row>
    <row r="15">
      <c r="A15" s="60" t="n"/>
      <c r="B15" s="31" t="inlineStr">
        <is>
          <t>NOTE: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4" t="n"/>
      <c r="P15" s="41" t="n"/>
      <c r="Q15" s="41" t="n"/>
      <c r="R15" s="54" t="n"/>
      <c r="S15" s="17" t="n"/>
    </row>
    <row r="16">
      <c r="A16" s="29" t="n">
        <v>5</v>
      </c>
      <c r="B16" s="19" t="n">
        <v>46191</v>
      </c>
      <c r="C16" s="15" t="n">
        <v>59322.92</v>
      </c>
      <c r="D16" s="24" t="n">
        <v>0.5416666666666666</v>
      </c>
      <c r="E16" s="22" t="n">
        <v>0.1493055555555556</v>
      </c>
      <c r="F16" s="15" t="inlineStr">
        <is>
          <t>5831-B</t>
        </is>
      </c>
      <c r="G16" s="15" t="inlineStr">
        <is>
          <t>Black Pearl</t>
        </is>
      </c>
      <c r="H16" s="15" t="n"/>
      <c r="I16" s="15" t="n">
        <v>300</v>
      </c>
      <c r="J16" s="15" t="n">
        <v>190</v>
      </c>
      <c r="K16" s="15" t="n">
        <v>3</v>
      </c>
      <c r="L16" s="15" t="n">
        <v>16</v>
      </c>
      <c r="M16" s="15" t="n">
        <v>30</v>
      </c>
      <c r="N16" s="15" t="n">
        <v>23</v>
      </c>
      <c r="O16" s="15" t="n"/>
      <c r="P16" s="15" t="n">
        <v>260</v>
      </c>
      <c r="Q16" s="13" t="n"/>
      <c r="R16" s="14" t="n"/>
      <c r="S16" s="17">
        <f>(I16*J16/10000)*K16</f>
        <v/>
      </c>
    </row>
    <row r="17">
      <c r="A17" s="63" t="n"/>
      <c r="B17" s="31" t="inlineStr">
        <is>
          <t>NOTE:</t>
        </is>
      </c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4" t="n"/>
      <c r="P17" s="41" t="n"/>
      <c r="Q17" s="41" t="n"/>
      <c r="R17" s="54" t="n"/>
      <c r="S17" s="17" t="n"/>
    </row>
    <row r="18">
      <c r="A18" s="63" t="n"/>
      <c r="B18" s="19" t="n">
        <v>46191</v>
      </c>
      <c r="C18" s="15" t="n">
        <v>59322.92</v>
      </c>
      <c r="D18" s="24" t="n">
        <v>0.5416666666666666</v>
      </c>
      <c r="E18" s="22" t="n">
        <v>0.1493055555555556</v>
      </c>
      <c r="F18" s="15" t="n">
        <v>5750</v>
      </c>
      <c r="G18" s="15" t="inlineStr">
        <is>
          <t>Surf Green</t>
        </is>
      </c>
      <c r="H18" s="15" t="n"/>
      <c r="I18" s="15" t="n">
        <v>300</v>
      </c>
      <c r="J18" s="15" t="n">
        <v>182</v>
      </c>
      <c r="K18" s="15" t="n">
        <v>52</v>
      </c>
      <c r="L18" s="15" t="n">
        <v>16</v>
      </c>
      <c r="M18" s="15" t="n">
        <v>30</v>
      </c>
      <c r="N18" s="15" t="n">
        <v>23</v>
      </c>
      <c r="O18" s="15" t="n"/>
      <c r="P18" s="15" t="n">
        <v>250</v>
      </c>
      <c r="Q18" s="13" t="n"/>
      <c r="R18" s="14" t="n"/>
      <c r="S18" s="17">
        <f>(I18*J18/10000)*K18</f>
        <v/>
      </c>
    </row>
    <row r="19">
      <c r="A19" s="63" t="n"/>
      <c r="B19" s="31" t="inlineStr">
        <is>
          <t>NOTE:</t>
        </is>
      </c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4" t="n"/>
      <c r="P19" s="12" t="n"/>
      <c r="Q19" s="41" t="n"/>
      <c r="R19" s="54" t="n"/>
      <c r="S19" s="17" t="n"/>
    </row>
    <row r="20">
      <c r="A20" s="63" t="n"/>
      <c r="B20" s="19" t="n">
        <v>46191</v>
      </c>
      <c r="C20" s="15" t="n">
        <v>59322.92</v>
      </c>
      <c r="D20" s="24" t="n">
        <v>0.5416666666666666</v>
      </c>
      <c r="E20" s="22" t="n">
        <v>0.1493055555555556</v>
      </c>
      <c r="F20" s="15" t="inlineStr">
        <is>
          <t>5839-B</t>
        </is>
      </c>
      <c r="G20" s="15" t="inlineStr">
        <is>
          <t>Black Pearl</t>
        </is>
      </c>
      <c r="H20" s="15" t="n"/>
      <c r="I20" s="15" t="n">
        <v>310</v>
      </c>
      <c r="J20" s="15" t="n">
        <v>187</v>
      </c>
      <c r="K20" s="15" t="n">
        <v>3</v>
      </c>
      <c r="L20" s="15" t="n">
        <v>16</v>
      </c>
      <c r="M20" s="15" t="n">
        <v>30</v>
      </c>
      <c r="N20" s="15" t="n">
        <v>23</v>
      </c>
      <c r="O20" s="15" t="n"/>
      <c r="P20" s="15" t="n">
        <v>250</v>
      </c>
      <c r="Q20" s="13" t="n"/>
      <c r="R20" s="14" t="n"/>
      <c r="S20" s="17">
        <f>(I20*J20/10000)*K20</f>
        <v/>
      </c>
    </row>
    <row r="21">
      <c r="A21" s="60" t="n"/>
      <c r="B21" s="31" t="inlineStr">
        <is>
          <t>NOTE:</t>
        </is>
      </c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4" t="n"/>
      <c r="P21" s="3" t="n"/>
      <c r="Q21" s="4" t="n"/>
      <c r="R21" s="6" t="n"/>
      <c r="S21" s="17" t="n"/>
    </row>
    <row r="22">
      <c r="A22" s="29" t="n">
        <v>6</v>
      </c>
      <c r="B22" s="19" t="n">
        <v>46192</v>
      </c>
      <c r="C22" s="15" t="n">
        <v>59336.63</v>
      </c>
      <c r="D22" s="24" t="n">
        <v>0.2604166666666667</v>
      </c>
      <c r="E22" s="22" t="n">
        <v>0.0625</v>
      </c>
      <c r="F22" s="15" t="n">
        <v>5716</v>
      </c>
      <c r="G22" s="15" t="inlineStr">
        <is>
          <t>Coffe Brown</t>
        </is>
      </c>
      <c r="H22" s="15" t="n"/>
      <c r="I22" s="15" t="n">
        <v>305</v>
      </c>
      <c r="J22" s="15" t="n">
        <v>190</v>
      </c>
      <c r="K22" s="15" t="n">
        <v>50</v>
      </c>
      <c r="L22" s="15" t="n">
        <v>18</v>
      </c>
      <c r="M22" s="15" t="n">
        <v>30</v>
      </c>
      <c r="N22" s="15" t="n">
        <v>23</v>
      </c>
      <c r="O22" s="15" t="n"/>
      <c r="P22" s="15" t="n">
        <v>250</v>
      </c>
      <c r="Q22" s="13" t="n"/>
      <c r="R22" s="14" t="n"/>
      <c r="S22" s="17">
        <f>(I22*J22/10000)*K22</f>
        <v/>
      </c>
    </row>
    <row r="23">
      <c r="A23" s="60" t="n"/>
      <c r="B23" s="31" t="inlineStr">
        <is>
          <t>NOTE: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4" t="n"/>
      <c r="P23" s="3" t="n"/>
      <c r="Q23" s="33" t="n"/>
      <c r="R23" s="54" t="n"/>
      <c r="S23" s="17" t="n"/>
    </row>
    <row r="24">
      <c r="A24" s="29" t="n">
        <v>7</v>
      </c>
      <c r="B24" s="19" t="n">
        <v>46193</v>
      </c>
      <c r="C24" s="15" t="n">
        <v>59349.45</v>
      </c>
      <c r="D24" s="24" t="n">
        <v>0.1388888888888889</v>
      </c>
      <c r="E24" s="22" t="n">
        <v>0.75</v>
      </c>
      <c r="F24" s="15" t="inlineStr">
        <is>
          <t>5828-B</t>
        </is>
      </c>
      <c r="G24" s="15" t="inlineStr">
        <is>
          <t>Astoria</t>
        </is>
      </c>
      <c r="H24" s="15" t="n"/>
      <c r="I24" s="15" t="n">
        <v>285</v>
      </c>
      <c r="J24" s="15" t="n">
        <v>187</v>
      </c>
      <c r="K24" s="15" t="n">
        <v>56</v>
      </c>
      <c r="L24" s="15" t="n">
        <v>18</v>
      </c>
      <c r="M24" s="15" t="n">
        <v>30</v>
      </c>
      <c r="N24" s="15" t="n">
        <v>23</v>
      </c>
      <c r="O24" s="15" t="n"/>
      <c r="P24" s="15" t="n">
        <v>250</v>
      </c>
      <c r="Q24" s="13" t="n"/>
      <c r="R24" s="14" t="n"/>
      <c r="S24" s="17">
        <f>(I24*J24/10000)*K24</f>
        <v/>
      </c>
    </row>
    <row r="25">
      <c r="A25" s="63" t="n"/>
      <c r="B25" s="31" t="inlineStr">
        <is>
          <t>NOTE: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4" t="n"/>
      <c r="P25" s="41" t="n"/>
      <c r="Q25" s="41" t="n"/>
      <c r="R25" s="54" t="n"/>
      <c r="S25" s="17" t="n"/>
    </row>
    <row r="26">
      <c r="A26" s="63" t="n"/>
      <c r="B26" s="19" t="n">
        <v>46193</v>
      </c>
      <c r="C26" s="15" t="n">
        <v>59349.45</v>
      </c>
      <c r="D26" s="24" t="n">
        <v>0.1388888888888889</v>
      </c>
      <c r="E26" s="22" t="n">
        <v>0.75</v>
      </c>
      <c r="F26" s="15" t="inlineStr">
        <is>
          <t>5840-A</t>
        </is>
      </c>
      <c r="G26" s="15" t="inlineStr">
        <is>
          <t>Black Galaxy</t>
        </is>
      </c>
      <c r="H26" s="15" t="n"/>
      <c r="I26" s="15" t="n">
        <v>320</v>
      </c>
      <c r="J26" s="15" t="n">
        <v>190</v>
      </c>
      <c r="K26" s="15" t="n">
        <v>4</v>
      </c>
      <c r="L26" s="15" t="n">
        <v>18</v>
      </c>
      <c r="M26" s="15" t="n">
        <v>30</v>
      </c>
      <c r="N26" s="15" t="n">
        <v>23</v>
      </c>
      <c r="O26" s="15" t="n"/>
      <c r="P26" s="15" t="n">
        <v>245</v>
      </c>
      <c r="Q26" s="13" t="n"/>
      <c r="R26" s="14" t="n"/>
      <c r="S26" s="17">
        <f>(I26*J26/10000)*K26</f>
        <v/>
      </c>
    </row>
    <row r="27">
      <c r="A27" s="60" t="n"/>
      <c r="B27" s="31" t="inlineStr">
        <is>
          <t>NOTE: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4" t="n"/>
      <c r="P27" s="41" t="n"/>
      <c r="Q27" s="41" t="n"/>
      <c r="R27" s="54" t="n"/>
      <c r="S27" s="17" t="n"/>
    </row>
    <row r="28">
      <c r="A28" s="28" t="n">
        <v>8</v>
      </c>
      <c r="B28" s="19" t="n">
        <v>46193</v>
      </c>
      <c r="C28" s="15" t="n">
        <v>59362.35</v>
      </c>
      <c r="D28" s="21" t="n">
        <v>0.4340277777777778</v>
      </c>
      <c r="E28" s="22" t="n">
        <v>0.8958333333333334</v>
      </c>
      <c r="F28" s="15" t="n">
        <v>5835</v>
      </c>
      <c r="G28" s="15" t="inlineStr">
        <is>
          <t>Ivory Brown</t>
        </is>
      </c>
      <c r="H28" s="15" t="n"/>
      <c r="I28" s="15" t="n">
        <v>310</v>
      </c>
      <c r="J28" s="15" t="n">
        <v>190</v>
      </c>
      <c r="K28" s="15" t="n">
        <v>29</v>
      </c>
      <c r="L28" s="15" t="n">
        <v>16</v>
      </c>
      <c r="M28" s="15" t="n">
        <v>30</v>
      </c>
      <c r="N28" s="15" t="n">
        <v>23</v>
      </c>
      <c r="O28" s="15" t="n"/>
      <c r="P28" s="15" t="n">
        <v>140</v>
      </c>
      <c r="Q28" s="13" t="n"/>
      <c r="R28" s="14" t="n"/>
      <c r="S28" s="17">
        <f>(I28*J28/10000)*K28</f>
        <v/>
      </c>
    </row>
    <row r="29">
      <c r="A29" s="63" t="n"/>
      <c r="B29" s="31" t="inlineStr">
        <is>
          <t>NOTE:</t>
        </is>
      </c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4" t="n"/>
      <c r="P29" s="3" t="n"/>
      <c r="Q29" s="4" t="n"/>
      <c r="R29" s="6" t="n"/>
      <c r="S29" s="17" t="n"/>
    </row>
    <row r="30">
      <c r="A30" s="63" t="n"/>
      <c r="B30" s="19" t="n">
        <v>46193</v>
      </c>
      <c r="C30" s="15" t="n">
        <v>59362.35</v>
      </c>
      <c r="D30" s="21" t="n">
        <v>0.4340277777777778</v>
      </c>
      <c r="E30" s="22" t="n">
        <v>0.8958333333333334</v>
      </c>
      <c r="F30" s="15" t="inlineStr">
        <is>
          <t>5836-A</t>
        </is>
      </c>
      <c r="G30" s="15" t="inlineStr">
        <is>
          <t>Ivory Brown</t>
        </is>
      </c>
      <c r="H30" s="15" t="n"/>
      <c r="I30" s="15" t="n">
        <v>305</v>
      </c>
      <c r="J30" s="15" t="n">
        <v>190</v>
      </c>
      <c r="K30" s="15" t="n">
        <v>22</v>
      </c>
      <c r="L30" s="15" t="n">
        <v>16</v>
      </c>
      <c r="M30" s="15" t="n">
        <v>30</v>
      </c>
      <c r="N30" s="15" t="n">
        <v>23</v>
      </c>
      <c r="O30" s="15" t="n"/>
      <c r="P30" s="15" t="n">
        <v>240</v>
      </c>
      <c r="Q30" s="13" t="n"/>
      <c r="R30" s="14" t="n"/>
      <c r="S30" s="17">
        <f>(I30*J30/10000)*K30</f>
        <v/>
      </c>
    </row>
    <row r="31">
      <c r="A31" s="60" t="n"/>
      <c r="B31" s="31" t="inlineStr">
        <is>
          <t>NOTE:</t>
        </is>
      </c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4" t="n"/>
      <c r="P31" s="3" t="n"/>
      <c r="Q31" s="33" t="n"/>
      <c r="R31" s="54" t="n"/>
      <c r="S31" s="17" t="n"/>
    </row>
    <row r="32">
      <c r="A32" s="28" t="n">
        <v>9</v>
      </c>
      <c r="B32" s="19" t="n">
        <v>46194</v>
      </c>
      <c r="C32" s="15" t="n">
        <v>59377.68</v>
      </c>
      <c r="D32" s="24" t="inlineStr">
        <is>
          <t>11;45</t>
        </is>
      </c>
      <c r="E32" s="22" t="n">
        <v>0.5902777777777778</v>
      </c>
      <c r="F32" s="15" t="n">
        <v>5855</v>
      </c>
      <c r="G32" s="15" t="inlineStr">
        <is>
          <t>Coffe Brown</t>
        </is>
      </c>
      <c r="H32" s="15" t="n"/>
      <c r="I32" s="15" t="n">
        <v>300</v>
      </c>
      <c r="J32" s="15" t="n">
        <v>192</v>
      </c>
      <c r="K32" s="15" t="n">
        <v>52</v>
      </c>
      <c r="L32" s="15" t="n">
        <v>18</v>
      </c>
      <c r="M32" s="15" t="n">
        <v>30</v>
      </c>
      <c r="N32" s="15" t="n">
        <v>23</v>
      </c>
      <c r="O32" s="15" t="n"/>
      <c r="P32" s="15" t="n">
        <v>250</v>
      </c>
      <c r="Q32" s="13" t="n"/>
      <c r="R32" s="14" t="n"/>
      <c r="S32" s="17">
        <f>(I32*J32/10000)*K32</f>
        <v/>
      </c>
    </row>
    <row r="33">
      <c r="A33" s="63" t="n"/>
      <c r="B33" s="31" t="inlineStr">
        <is>
          <t>NOTE:</t>
        </is>
      </c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4" t="n"/>
      <c r="P33" s="3" t="n"/>
      <c r="Q33" s="33" t="n"/>
      <c r="R33" s="54" t="n"/>
      <c r="S33" s="17" t="n"/>
    </row>
    <row r="34">
      <c r="A34" s="63" t="n"/>
      <c r="B34" s="19" t="n">
        <v>46194</v>
      </c>
      <c r="C34" s="15" t="n">
        <v>59377.68</v>
      </c>
      <c r="D34" s="24" t="inlineStr">
        <is>
          <t>11;45</t>
        </is>
      </c>
      <c r="E34" s="22" t="n">
        <v>0.5902777777777778</v>
      </c>
      <c r="F34" s="15" t="inlineStr">
        <is>
          <t>5808-B</t>
        </is>
      </c>
      <c r="G34" s="15" t="inlineStr">
        <is>
          <t>Steel Grey</t>
        </is>
      </c>
      <c r="H34" s="15" t="n"/>
      <c r="I34" s="15" t="n">
        <v>310</v>
      </c>
      <c r="J34" s="15" t="n">
        <v>185</v>
      </c>
      <c r="K34" s="15" t="n">
        <v>4</v>
      </c>
      <c r="L34" s="15" t="n">
        <v>18</v>
      </c>
      <c r="M34" s="15" t="n">
        <v>30</v>
      </c>
      <c r="N34" s="15" t="n">
        <v>23</v>
      </c>
      <c r="O34" s="15" t="n"/>
      <c r="P34" s="15" t="n">
        <v>250</v>
      </c>
      <c r="Q34" s="13" t="n"/>
      <c r="R34" s="14" t="n"/>
      <c r="S34" s="17">
        <f>(I34*J34/10000)*K34</f>
        <v/>
      </c>
    </row>
    <row r="35">
      <c r="A35" s="60" t="n"/>
      <c r="B35" s="31" t="inlineStr">
        <is>
          <t>NOTE:</t>
        </is>
      </c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4" t="n"/>
      <c r="P35" s="4" t="n"/>
      <c r="Q35" s="5" t="n"/>
      <c r="R35" s="6" t="n"/>
      <c r="S35" s="17" t="n"/>
    </row>
    <row r="36">
      <c r="A36" s="28" t="n">
        <v>10</v>
      </c>
      <c r="B36" s="19" t="n">
        <v>46195</v>
      </c>
      <c r="C36" s="15" t="n">
        <v>59390.57</v>
      </c>
      <c r="D36" s="21" t="n">
        <v>0.7083333333333334</v>
      </c>
      <c r="E36" s="22" t="n">
        <v>0.3680555555555556</v>
      </c>
      <c r="F36" s="15" t="n">
        <v>5853</v>
      </c>
      <c r="G36" s="15" t="inlineStr">
        <is>
          <t>Steel Grey</t>
        </is>
      </c>
      <c r="H36" s="15" t="n"/>
      <c r="I36" s="15" t="n">
        <v>300</v>
      </c>
      <c r="J36" s="15" t="n">
        <v>190</v>
      </c>
      <c r="K36" s="15" t="n">
        <v>60</v>
      </c>
      <c r="L36" s="15" t="n">
        <v>18</v>
      </c>
      <c r="M36" s="15" t="n">
        <v>30</v>
      </c>
      <c r="N36" s="15" t="n">
        <v>23</v>
      </c>
      <c r="O36" s="15" t="n"/>
      <c r="P36" s="15" t="n">
        <v>245</v>
      </c>
      <c r="Q36" s="13" t="n"/>
      <c r="R36" s="14" t="n"/>
      <c r="S36" s="17">
        <f>(I36*J36/10000)*K36</f>
        <v/>
      </c>
    </row>
    <row r="37">
      <c r="A37" s="60" t="n"/>
      <c r="B37" s="31" t="inlineStr">
        <is>
          <t>NOTE:</t>
        </is>
      </c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4" t="n"/>
      <c r="P37" s="41" t="n"/>
      <c r="Q37" s="41" t="n"/>
      <c r="R37" s="54" t="n"/>
      <c r="S37" s="17" t="n"/>
    </row>
    <row r="38">
      <c r="A38" s="28" t="n">
        <v>11</v>
      </c>
      <c r="B38" s="19" t="n">
        <v>46196</v>
      </c>
      <c r="C38" s="15" t="n">
        <v>59403.04</v>
      </c>
      <c r="D38" s="21" t="n">
        <v>0.7083333333333334</v>
      </c>
      <c r="E38" s="22" t="n">
        <v>0.3854166666666667</v>
      </c>
      <c r="F38" s="15" t="n">
        <v>5846</v>
      </c>
      <c r="G38" s="15" t="inlineStr">
        <is>
          <t>Black</t>
        </is>
      </c>
      <c r="H38" s="15" t="n"/>
      <c r="I38" s="15" t="n">
        <v>300</v>
      </c>
      <c r="J38" s="15" t="n">
        <v>190</v>
      </c>
      <c r="K38" s="15" t="n">
        <v>51</v>
      </c>
      <c r="L38" s="15" t="n">
        <v>15</v>
      </c>
      <c r="M38" s="15" t="n">
        <v>30</v>
      </c>
      <c r="N38" s="15" t="n">
        <v>23</v>
      </c>
      <c r="O38" s="15" t="n"/>
      <c r="P38" s="15" t="n">
        <v>250</v>
      </c>
      <c r="Q38" s="13" t="n"/>
      <c r="R38" s="14" t="n"/>
      <c r="S38" s="17">
        <f>(I38*J38/10000)*K38</f>
        <v/>
      </c>
    </row>
    <row r="39">
      <c r="A39" s="63" t="n"/>
      <c r="B39" s="31" t="inlineStr">
        <is>
          <t>NOTE:</t>
        </is>
      </c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4" t="n"/>
      <c r="P39" s="41" t="n"/>
      <c r="Q39" s="41" t="n"/>
      <c r="R39" s="54" t="n"/>
      <c r="S39" s="17" t="n"/>
    </row>
    <row r="40">
      <c r="A40" s="63" t="n"/>
      <c r="B40" s="19" t="n">
        <v>46196</v>
      </c>
      <c r="C40" s="15" t="n">
        <v>59403.04</v>
      </c>
      <c r="D40" s="21" t="n">
        <v>0.7083333333333334</v>
      </c>
      <c r="E40" s="22" t="n">
        <v>0.3854166666666667</v>
      </c>
      <c r="F40" s="15" t="inlineStr">
        <is>
          <t>5502-B</t>
        </is>
      </c>
      <c r="G40" s="15" t="inlineStr">
        <is>
          <t>Black</t>
        </is>
      </c>
      <c r="H40" s="15" t="n"/>
      <c r="I40" s="15" t="n">
        <v>290</v>
      </c>
      <c r="J40" s="15" t="n">
        <v>170</v>
      </c>
      <c r="K40" s="15" t="n">
        <v>5</v>
      </c>
      <c r="L40" s="15" t="n">
        <v>15</v>
      </c>
      <c r="M40" s="15" t="n">
        <v>30</v>
      </c>
      <c r="N40" s="15" t="n">
        <v>23</v>
      </c>
      <c r="O40" s="15" t="n"/>
      <c r="P40" s="15" t="n">
        <v>250</v>
      </c>
      <c r="Q40" s="13" t="n"/>
      <c r="R40" s="14" t="n"/>
      <c r="S40" s="17">
        <f>(I40*J40/10000)*K40</f>
        <v/>
      </c>
    </row>
    <row r="41">
      <c r="A41" s="60" t="n"/>
      <c r="B41" s="31" t="inlineStr">
        <is>
          <t>NOTE:</t>
        </is>
      </c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4" t="n"/>
      <c r="P41" s="12" t="n"/>
      <c r="Q41" s="41" t="n"/>
      <c r="R41" s="54" t="n"/>
      <c r="S41" s="17" t="n"/>
    </row>
    <row r="42">
      <c r="A42" s="28" t="n">
        <v>12</v>
      </c>
      <c r="B42" s="19" t="n">
        <v>46197</v>
      </c>
      <c r="C42" s="15" t="n">
        <v>59418.53</v>
      </c>
      <c r="D42" s="24" t="n">
        <v>0.4965277777777778</v>
      </c>
      <c r="E42" s="23" t="n">
        <v>0.9861111111111112</v>
      </c>
      <c r="F42" s="15" t="n">
        <v>5848</v>
      </c>
      <c r="G42" s="15" t="inlineStr">
        <is>
          <t>Black Galaxy</t>
        </is>
      </c>
      <c r="H42" s="15" t="n"/>
      <c r="I42" s="15" t="n">
        <v>300</v>
      </c>
      <c r="J42" s="15" t="n">
        <v>180</v>
      </c>
      <c r="K42" s="15" t="n">
        <v>61</v>
      </c>
      <c r="L42" s="15" t="n">
        <v>20</v>
      </c>
      <c r="M42" s="15" t="n">
        <v>30</v>
      </c>
      <c r="N42" s="15" t="n">
        <v>23</v>
      </c>
      <c r="O42" s="15" t="n"/>
      <c r="P42" s="15" t="n">
        <v>250</v>
      </c>
      <c r="Q42" s="13" t="n"/>
      <c r="R42" s="14" t="n"/>
      <c r="S42" s="17">
        <f>(I42*J42/10000)*K42</f>
        <v/>
      </c>
    </row>
    <row r="43">
      <c r="A43" s="60" t="n"/>
      <c r="B43" s="31" t="inlineStr">
        <is>
          <t>NOTE: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4" t="n"/>
      <c r="P43" s="41" t="n"/>
      <c r="Q43" s="41" t="n"/>
      <c r="R43" s="54" t="n"/>
      <c r="S43" s="17" t="n"/>
    </row>
    <row r="44">
      <c r="A44" s="28" t="n">
        <v>13</v>
      </c>
      <c r="B44" s="19" t="n">
        <v>46198</v>
      </c>
      <c r="C44" s="15" t="n">
        <v>59428.82</v>
      </c>
      <c r="D44" s="24" t="n">
        <v>0.125</v>
      </c>
      <c r="E44" s="23" t="n">
        <v>0.3854166666666667</v>
      </c>
      <c r="F44" s="15" t="n">
        <v>5843</v>
      </c>
      <c r="G44" s="15" t="inlineStr">
        <is>
          <t>Absolute Black</t>
        </is>
      </c>
      <c r="H44" s="15" t="n"/>
      <c r="I44" s="15" t="n">
        <v>290</v>
      </c>
      <c r="J44" s="15" t="n">
        <v>190</v>
      </c>
      <c r="K44" s="15" t="n">
        <v>50</v>
      </c>
      <c r="L44" s="15" t="n">
        <v>15</v>
      </c>
      <c r="M44" s="15" t="n">
        <v>30</v>
      </c>
      <c r="N44" s="15" t="n">
        <v>23</v>
      </c>
      <c r="O44" s="15" t="n"/>
      <c r="P44" s="15" t="n">
        <v>200</v>
      </c>
      <c r="Q44" s="13" t="n"/>
      <c r="R44" s="14" t="n"/>
      <c r="S44" s="17">
        <f>(I44*J44/10000)*K44</f>
        <v/>
      </c>
    </row>
    <row r="45">
      <c r="A45" s="60" t="n"/>
      <c r="B45" s="31" t="inlineStr">
        <is>
          <t>NOTE: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4" t="n"/>
      <c r="P45" s="3" t="n"/>
      <c r="Q45" s="4" t="n"/>
      <c r="R45" s="6" t="n"/>
      <c r="S45" s="17" t="n"/>
    </row>
    <row r="46">
      <c r="A46" s="28" t="n">
        <v>14</v>
      </c>
      <c r="B46" s="19" t="n">
        <v>46199</v>
      </c>
      <c r="C46" s="15" t="n">
        <v>59443.67</v>
      </c>
      <c r="D46" s="24" t="n">
        <v>0.5138888888888888</v>
      </c>
      <c r="E46" s="23" t="n">
        <v>0.8888888888888888</v>
      </c>
      <c r="F46" s="15" t="n">
        <v>5679</v>
      </c>
      <c r="G46" s="15" t="inlineStr">
        <is>
          <t>Viscon White</t>
        </is>
      </c>
      <c r="H46" s="15" t="n"/>
      <c r="I46" s="15" t="n">
        <v>300</v>
      </c>
      <c r="J46" s="15" t="n">
        <v>190</v>
      </c>
      <c r="K46" s="15" t="n">
        <v>42</v>
      </c>
      <c r="L46" s="15" t="n">
        <v>13</v>
      </c>
      <c r="M46" s="15" t="n">
        <v>31</v>
      </c>
      <c r="N46" s="15" t="n">
        <v>23</v>
      </c>
      <c r="O46" s="15" t="n"/>
      <c r="P46" s="15" t="n">
        <v>240</v>
      </c>
      <c r="Q46" s="13" t="n"/>
      <c r="R46" s="14" t="n"/>
      <c r="S46" s="17">
        <f>(I46*J46/10000)*K46</f>
        <v/>
      </c>
    </row>
    <row r="47">
      <c r="A47" s="63" t="n"/>
      <c r="B47" s="31" t="inlineStr">
        <is>
          <t>NOTE:</t>
        </is>
      </c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4" t="n"/>
      <c r="P47" s="3" t="n"/>
      <c r="Q47" s="33" t="n"/>
      <c r="R47" s="54" t="n"/>
      <c r="S47" s="17" t="n"/>
    </row>
    <row r="48">
      <c r="A48" s="63" t="n"/>
      <c r="B48" s="19" t="n">
        <v>46199</v>
      </c>
      <c r="C48" s="15" t="n">
        <v>59443.67</v>
      </c>
      <c r="D48" s="24" t="n">
        <v>0.5138888888888888</v>
      </c>
      <c r="E48" s="23" t="n">
        <v>0.8888888888888888</v>
      </c>
      <c r="F48" s="15" t="inlineStr">
        <is>
          <t>5836-B</t>
        </is>
      </c>
      <c r="G48" s="15" t="inlineStr">
        <is>
          <t>Ivory Brown</t>
        </is>
      </c>
      <c r="H48" s="15" t="n"/>
      <c r="I48" s="15" t="n">
        <v>300</v>
      </c>
      <c r="J48" s="15" t="n">
        <v>185</v>
      </c>
      <c r="K48" s="15" t="n">
        <v>3</v>
      </c>
      <c r="L48" s="15" t="n">
        <v>13</v>
      </c>
      <c r="M48" s="15" t="n">
        <v>31</v>
      </c>
      <c r="N48" s="15" t="n">
        <v>23</v>
      </c>
      <c r="O48" s="15" t="n"/>
      <c r="P48" s="15" t="n">
        <v>240</v>
      </c>
      <c r="Q48" s="13" t="n"/>
      <c r="R48" s="14" t="n"/>
      <c r="S48" s="17">
        <f>(I48*J48/10000)*K48</f>
        <v/>
      </c>
    </row>
    <row r="49">
      <c r="A49" s="63" t="n"/>
      <c r="B49" s="31" t="inlineStr">
        <is>
          <t>NOTE:</t>
        </is>
      </c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4" t="n"/>
      <c r="P49" s="3" t="n"/>
      <c r="Q49" s="33" t="n"/>
      <c r="R49" s="54" t="n"/>
      <c r="S49" s="17" t="n"/>
    </row>
    <row r="50">
      <c r="A50" s="63" t="n"/>
      <c r="B50" s="19" t="n">
        <v>46199</v>
      </c>
      <c r="C50" s="15" t="n">
        <v>59443.67</v>
      </c>
      <c r="D50" s="24" t="n">
        <v>0.5138888888888888</v>
      </c>
      <c r="E50" s="23" t="n">
        <v>0.8888888888888888</v>
      </c>
      <c r="F50" s="15" t="inlineStr">
        <is>
          <t>5675-B</t>
        </is>
      </c>
      <c r="G50" s="15" t="inlineStr">
        <is>
          <t>Viscon White</t>
        </is>
      </c>
      <c r="H50" s="15" t="n"/>
      <c r="I50" s="15" t="n">
        <v>305</v>
      </c>
      <c r="J50" s="15" t="n">
        <v>190</v>
      </c>
      <c r="K50" s="15" t="n">
        <v>4</v>
      </c>
      <c r="L50" s="15" t="n">
        <v>13</v>
      </c>
      <c r="M50" s="15" t="n">
        <v>31</v>
      </c>
      <c r="N50" s="15" t="n">
        <v>23</v>
      </c>
      <c r="O50" s="15" t="n"/>
      <c r="P50" s="15" t="n">
        <v>240</v>
      </c>
      <c r="Q50" s="13" t="n"/>
      <c r="R50" s="14" t="n"/>
      <c r="S50" s="17">
        <f>(I50*J50/10000)*K50</f>
        <v/>
      </c>
    </row>
    <row r="51">
      <c r="A51" s="60" t="n"/>
      <c r="B51" s="31" t="inlineStr">
        <is>
          <t>NOTE:</t>
        </is>
      </c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4" t="n"/>
      <c r="P51" s="41" t="n"/>
      <c r="Q51" s="41" t="n"/>
      <c r="R51" s="54" t="n"/>
      <c r="S51" s="17" t="n"/>
    </row>
    <row r="52">
      <c r="A52" s="28" t="n">
        <v>15</v>
      </c>
      <c r="B52" s="19" t="n">
        <v>46200</v>
      </c>
      <c r="C52" s="15" t="n">
        <v>59461.07</v>
      </c>
      <c r="D52" s="24" t="n">
        <v>0.1041666666666667</v>
      </c>
      <c r="E52" s="22" t="n">
        <v>0.125</v>
      </c>
      <c r="F52" s="15" t="n">
        <v>5824</v>
      </c>
      <c r="G52" s="15" t="inlineStr">
        <is>
          <t>Viscon White</t>
        </is>
      </c>
      <c r="H52" s="15" t="n"/>
      <c r="I52" s="15" t="n">
        <v>310</v>
      </c>
      <c r="J52" s="15" t="n">
        <v>190</v>
      </c>
      <c r="K52" s="15" t="n">
        <v>34</v>
      </c>
      <c r="L52" s="15" t="n">
        <v>14</v>
      </c>
      <c r="M52" s="15" t="n">
        <v>31</v>
      </c>
      <c r="N52" s="15" t="n">
        <v>23</v>
      </c>
      <c r="O52" s="15" t="n"/>
      <c r="P52" s="15" t="n">
        <v>230</v>
      </c>
      <c r="Q52" s="13" t="n"/>
      <c r="R52" s="14" t="n"/>
      <c r="S52" s="17">
        <f>(I52*J52/10000)*K52</f>
        <v/>
      </c>
    </row>
    <row r="53">
      <c r="A53" s="60" t="n"/>
      <c r="B53" s="31" t="inlineStr">
        <is>
          <t>NOTE:</t>
        </is>
      </c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4" t="n"/>
      <c r="P53" s="3" t="n"/>
      <c r="Q53" s="4" t="n"/>
      <c r="R53" s="6" t="n"/>
      <c r="S53" s="17" t="n"/>
    </row>
    <row r="54">
      <c r="A54" s="28" t="n">
        <v>16</v>
      </c>
      <c r="B54" s="19" t="n">
        <v>46201</v>
      </c>
      <c r="C54" s="15" t="n">
        <v>59478.95</v>
      </c>
      <c r="D54" s="24" t="n">
        <v>0.125</v>
      </c>
      <c r="E54" s="22" t="n">
        <v>0.2013888888888889</v>
      </c>
      <c r="F54" s="15" t="n">
        <v>5863</v>
      </c>
      <c r="G54" s="15" t="inlineStr">
        <is>
          <t>Steel Grey</t>
        </is>
      </c>
      <c r="H54" s="15" t="n"/>
      <c r="I54" s="15" t="n">
        <v>300</v>
      </c>
      <c r="J54" s="15" t="n">
        <v>190</v>
      </c>
      <c r="K54" s="15" t="n">
        <v>52</v>
      </c>
      <c r="L54" s="15" t="n">
        <v>20</v>
      </c>
      <c r="M54" s="15" t="n">
        <v>30</v>
      </c>
      <c r="N54" s="15" t="n">
        <v>23</v>
      </c>
      <c r="O54" s="15" t="n"/>
      <c r="P54" s="15" t="n">
        <v>240</v>
      </c>
      <c r="Q54" s="13" t="n"/>
      <c r="R54" s="14" t="n"/>
      <c r="S54" s="17">
        <f>(I54*J54/10000)*K54</f>
        <v/>
      </c>
    </row>
    <row r="55">
      <c r="A55" s="60" t="n"/>
      <c r="B55" s="31" t="inlineStr">
        <is>
          <t>NOTE:</t>
        </is>
      </c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4" t="n"/>
      <c r="P55" s="3" t="n"/>
      <c r="Q55" s="4" t="n"/>
      <c r="R55" s="6" t="n"/>
      <c r="S55" s="17" t="n"/>
    </row>
    <row r="56">
      <c r="A56" s="28" t="n">
        <v>17</v>
      </c>
      <c r="B56" s="19" t="n">
        <v>46202</v>
      </c>
      <c r="C56" s="15" t="n">
        <v>59492.42</v>
      </c>
      <c r="D56" s="24" t="n">
        <v>0.4722222222222222</v>
      </c>
      <c r="E56" s="22" t="n">
        <v>0.3333333333333333</v>
      </c>
      <c r="F56" s="15" t="n">
        <v>5847</v>
      </c>
      <c r="G56" s="15" t="inlineStr">
        <is>
          <t>Black Galaxy</t>
        </is>
      </c>
      <c r="H56" s="15" t="n"/>
      <c r="I56" s="15" t="n">
        <v>290</v>
      </c>
      <c r="J56" s="15" t="n">
        <v>170</v>
      </c>
      <c r="K56" s="15" t="n">
        <v>18</v>
      </c>
      <c r="L56" s="15" t="n">
        <v>20</v>
      </c>
      <c r="M56" s="15" t="n">
        <v>30</v>
      </c>
      <c r="N56" s="15" t="n">
        <v>23</v>
      </c>
      <c r="O56" s="15" t="n"/>
      <c r="P56" s="15" t="n">
        <v>225</v>
      </c>
      <c r="Q56" s="13" t="n"/>
      <c r="R56" s="14" t="n"/>
      <c r="S56" s="17">
        <f>(I56*J56/10000)*K56</f>
        <v/>
      </c>
    </row>
    <row r="57">
      <c r="A57" s="63" t="n"/>
      <c r="B57" s="31" t="inlineStr">
        <is>
          <t>NOTE:</t>
        </is>
      </c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4" t="n"/>
      <c r="P57" s="3" t="n"/>
      <c r="Q57" s="4" t="n"/>
      <c r="R57" s="6" t="n"/>
      <c r="S57" s="17" t="n"/>
    </row>
    <row r="58">
      <c r="A58" s="63" t="n"/>
      <c r="B58" s="19" t="n">
        <v>46202</v>
      </c>
      <c r="C58" s="15" t="n">
        <v>59492.42</v>
      </c>
      <c r="D58" s="24" t="n">
        <v>0.4722222222222222</v>
      </c>
      <c r="E58" s="22" t="n">
        <v>0.3333333333333333</v>
      </c>
      <c r="F58" s="15" t="n">
        <v>5722</v>
      </c>
      <c r="G58" s="15" t="inlineStr">
        <is>
          <t>Black Pearl</t>
        </is>
      </c>
      <c r="H58" s="15" t="n"/>
      <c r="I58" s="15" t="n">
        <v>290</v>
      </c>
      <c r="J58" s="15" t="n">
        <v>190</v>
      </c>
      <c r="K58" s="15" t="n">
        <v>31</v>
      </c>
      <c r="L58" s="15" t="n">
        <v>20</v>
      </c>
      <c r="M58" s="15" t="n">
        <v>30</v>
      </c>
      <c r="N58" s="15" t="n">
        <v>23</v>
      </c>
      <c r="O58" s="15" t="n"/>
      <c r="P58" s="15" t="n">
        <v>225</v>
      </c>
      <c r="Q58" s="13" t="n"/>
      <c r="R58" s="14" t="n"/>
      <c r="S58" s="17">
        <f>(I58*J58/10000)*K58</f>
        <v/>
      </c>
    </row>
    <row r="59">
      <c r="A59" s="60" t="n"/>
      <c r="B59" s="31" t="inlineStr">
        <is>
          <t>NOTE:</t>
        </is>
      </c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4" t="n"/>
      <c r="P59" s="3" t="n"/>
      <c r="Q59" s="4" t="n"/>
      <c r="R59" s="6" t="n"/>
      <c r="S59" s="17" t="n"/>
    </row>
    <row r="60">
      <c r="A60" s="28" t="n">
        <v>18</v>
      </c>
      <c r="B60" s="19" t="n">
        <v>46203</v>
      </c>
      <c r="C60" s="15" t="n">
        <v>59506.42</v>
      </c>
      <c r="D60" s="24" t="n">
        <v>0.5173611111111112</v>
      </c>
      <c r="E60" s="22" t="n">
        <v>0.3958333333333333</v>
      </c>
      <c r="F60" s="15" t="n">
        <v>5762</v>
      </c>
      <c r="G60" s="15" t="inlineStr">
        <is>
          <t>Ivory Fantasy</t>
        </is>
      </c>
      <c r="H60" s="15" t="n"/>
      <c r="I60" s="15" t="n">
        <v>310</v>
      </c>
      <c r="J60" s="15" t="n">
        <v>190</v>
      </c>
      <c r="K60" s="15" t="n">
        <v>35</v>
      </c>
      <c r="L60" s="15" t="n">
        <v>15</v>
      </c>
      <c r="M60" s="15" t="n">
        <v>30</v>
      </c>
      <c r="N60" s="15" t="n">
        <v>23</v>
      </c>
      <c r="O60" s="15" t="n"/>
      <c r="P60" s="15" t="n">
        <v>240</v>
      </c>
      <c r="Q60" s="13" t="n"/>
      <c r="R60" s="14" t="n"/>
      <c r="S60" s="17">
        <f>(I60*J60/10000)*K60</f>
        <v/>
      </c>
    </row>
    <row r="61">
      <c r="A61" s="63" t="n"/>
      <c r="B61" s="31" t="inlineStr">
        <is>
          <t>NOTE:</t>
        </is>
      </c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4" t="n"/>
      <c r="P61" s="3" t="n"/>
      <c r="Q61" s="4" t="n"/>
      <c r="R61" s="6" t="n"/>
      <c r="S61" s="17" t="n"/>
    </row>
    <row r="62">
      <c r="A62" s="63" t="n"/>
      <c r="B62" s="19" t="n">
        <v>46203</v>
      </c>
      <c r="C62" s="15" t="n">
        <v>59506.42</v>
      </c>
      <c r="D62" s="24" t="n">
        <v>0.5173611111111112</v>
      </c>
      <c r="E62" s="22" t="n">
        <v>0.3958333333333333</v>
      </c>
      <c r="F62" s="15" t="inlineStr">
        <is>
          <t>5752-B</t>
        </is>
      </c>
      <c r="G62" s="15" t="inlineStr">
        <is>
          <t>Black Galaxy</t>
        </is>
      </c>
      <c r="H62" s="15" t="n"/>
      <c r="I62" s="15" t="n">
        <v>290</v>
      </c>
      <c r="J62" s="15" t="n">
        <v>180</v>
      </c>
      <c r="K62" s="15" t="n">
        <v>8</v>
      </c>
      <c r="L62" s="15" t="n">
        <v>15</v>
      </c>
      <c r="M62" s="15" t="n">
        <v>30</v>
      </c>
      <c r="N62" s="15" t="n">
        <v>23</v>
      </c>
      <c r="O62" s="15" t="n"/>
      <c r="P62" s="15" t="n">
        <v>240</v>
      </c>
      <c r="Q62" s="13" t="n"/>
      <c r="R62" s="14" t="n"/>
      <c r="S62" s="17">
        <f>(I62*J62/10000)*K62</f>
        <v/>
      </c>
    </row>
    <row r="63">
      <c r="A63" s="63" t="n"/>
      <c r="B63" s="31" t="inlineStr">
        <is>
          <t>NOTE:</t>
        </is>
      </c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4" t="n"/>
      <c r="P63" s="3" t="n"/>
      <c r="Q63" s="4" t="n"/>
      <c r="R63" s="6" t="n"/>
      <c r="S63" s="17" t="n"/>
    </row>
    <row r="64">
      <c r="A64" s="63" t="n"/>
      <c r="B64" s="19" t="n">
        <v>46203</v>
      </c>
      <c r="C64" s="15" t="n">
        <v>59506.42</v>
      </c>
      <c r="D64" s="24" t="n">
        <v>0.5173611111111112</v>
      </c>
      <c r="E64" s="22" t="n">
        <v>0.3958333333333333</v>
      </c>
      <c r="F64" s="15" t="inlineStr">
        <is>
          <t>5717-B</t>
        </is>
      </c>
      <c r="G64" s="15" t="inlineStr">
        <is>
          <t>Black Galaxy</t>
        </is>
      </c>
      <c r="H64" s="15" t="n"/>
      <c r="I64" s="15" t="n">
        <v>300</v>
      </c>
      <c r="J64" s="15" t="n">
        <v>190</v>
      </c>
      <c r="K64" s="15" t="n">
        <v>5</v>
      </c>
      <c r="L64" s="15" t="n">
        <v>20</v>
      </c>
      <c r="M64" s="15" t="n">
        <v>30</v>
      </c>
      <c r="N64" s="15" t="n">
        <v>23</v>
      </c>
      <c r="O64" s="15" t="n"/>
      <c r="P64" s="15" t="n">
        <v>240</v>
      </c>
      <c r="Q64" s="13" t="n"/>
      <c r="R64" s="14" t="n"/>
      <c r="S64" s="17">
        <f>(I64*J64/10000)*K64</f>
        <v/>
      </c>
    </row>
    <row r="65">
      <c r="A65" s="60" t="n"/>
      <c r="B65" s="31" t="inlineStr">
        <is>
          <t>NOTE:</t>
        </is>
      </c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4" t="n"/>
      <c r="P65" s="3" t="n"/>
      <c r="Q65" s="4" t="n"/>
      <c r="R65" s="6" t="n"/>
      <c r="S65" s="17" t="n"/>
    </row>
    <row r="66">
      <c r="A66" s="28" t="n">
        <v>19</v>
      </c>
      <c r="B66" s="19" t="n">
        <v>46204</v>
      </c>
      <c r="C66" s="15" t="n">
        <v>59522.21</v>
      </c>
      <c r="D66" s="24" t="n">
        <v>0.5208333333333334</v>
      </c>
      <c r="E66" s="22" t="n">
        <v>0.3888888888888889</v>
      </c>
      <c r="F66" s="15" t="n">
        <v>5437</v>
      </c>
      <c r="G66" s="15" t="inlineStr">
        <is>
          <t>Black Forest</t>
        </is>
      </c>
      <c r="H66" s="15" t="n"/>
      <c r="I66" s="15" t="n">
        <v>320</v>
      </c>
      <c r="J66" s="15" t="n">
        <v>178</v>
      </c>
      <c r="K66" s="15" t="n">
        <v>33</v>
      </c>
      <c r="L66" s="15" t="n">
        <v>15</v>
      </c>
      <c r="M66" s="15" t="n">
        <v>30</v>
      </c>
      <c r="N66" s="15" t="n">
        <v>23</v>
      </c>
      <c r="O66" s="15" t="n"/>
      <c r="P66" s="15" t="n">
        <v>230</v>
      </c>
      <c r="Q66" s="13" t="n"/>
      <c r="R66" s="14" t="n"/>
      <c r="S66" s="17">
        <f>(I66*J66/10000)*K66</f>
        <v/>
      </c>
    </row>
    <row r="67">
      <c r="A67" s="63" t="n"/>
      <c r="B67" s="31" t="inlineStr">
        <is>
          <t>NOTE:</t>
        </is>
      </c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4" t="n"/>
      <c r="P67" s="3" t="n"/>
      <c r="Q67" s="4" t="n"/>
      <c r="R67" s="6" t="n"/>
      <c r="S67" s="17" t="n"/>
    </row>
    <row r="68">
      <c r="A68" s="63" t="n"/>
      <c r="B68" s="19" t="n">
        <v>46204</v>
      </c>
      <c r="C68" s="15" t="n">
        <v>59522.21</v>
      </c>
      <c r="D68" s="24" t="n">
        <v>0.5208333333333334</v>
      </c>
      <c r="E68" s="22" t="n">
        <v>0.3888888888888889</v>
      </c>
      <c r="F68" s="15" t="inlineStr">
        <is>
          <t>5847-B</t>
        </is>
      </c>
      <c r="G68" s="15" t="inlineStr">
        <is>
          <t>Black Galaxy</t>
        </is>
      </c>
      <c r="H68" s="15" t="n"/>
      <c r="I68" s="15" t="n">
        <v>290</v>
      </c>
      <c r="J68" s="15" t="n">
        <v>170</v>
      </c>
      <c r="K68" s="15" t="n">
        <v>9</v>
      </c>
      <c r="L68" s="15" t="n">
        <v>15</v>
      </c>
      <c r="M68" s="15" t="n">
        <v>30</v>
      </c>
      <c r="N68" s="15" t="n">
        <v>23</v>
      </c>
      <c r="O68" s="15" t="n"/>
      <c r="P68" s="15" t="n">
        <v>230</v>
      </c>
      <c r="Q68" s="13" t="n"/>
      <c r="R68" s="14" t="n"/>
      <c r="S68" s="17">
        <f>(I68*J68/10000)*K68</f>
        <v/>
      </c>
    </row>
    <row r="69">
      <c r="A69" s="63" t="n"/>
      <c r="B69" s="31" t="inlineStr">
        <is>
          <t>NOTE:</t>
        </is>
      </c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4" t="n"/>
      <c r="P69" s="3" t="n"/>
      <c r="Q69" s="33" t="n"/>
      <c r="R69" s="54" t="n"/>
      <c r="S69" s="17" t="n"/>
    </row>
    <row r="70">
      <c r="A70" s="63" t="n"/>
      <c r="B70" s="19" t="n">
        <v>46204</v>
      </c>
      <c r="C70" s="15" t="n">
        <v>59522.21</v>
      </c>
      <c r="D70" s="24" t="n">
        <v>0.5208333333333334</v>
      </c>
      <c r="E70" s="22" t="n">
        <v>0.3888888888888889</v>
      </c>
      <c r="F70" s="15" t="inlineStr">
        <is>
          <t xml:space="preserve">5838-B </t>
        </is>
      </c>
      <c r="G70" s="15" t="inlineStr">
        <is>
          <t>Black Galaxy</t>
        </is>
      </c>
      <c r="H70" s="15" t="n"/>
      <c r="I70" s="15" t="n">
        <v>300</v>
      </c>
      <c r="J70" s="15" t="n">
        <v>173</v>
      </c>
      <c r="K70" s="15" t="n">
        <v>9</v>
      </c>
      <c r="L70" s="15" t="n">
        <v>15</v>
      </c>
      <c r="M70" s="15" t="n">
        <v>30</v>
      </c>
      <c r="N70" s="15" t="n">
        <v>23</v>
      </c>
      <c r="O70" s="15" t="n"/>
      <c r="P70" s="15" t="n">
        <v>230</v>
      </c>
      <c r="Q70" s="13" t="n"/>
      <c r="R70" s="14" t="n"/>
      <c r="S70" s="17">
        <f>(I70*J70/10000)*K70</f>
        <v/>
      </c>
    </row>
    <row r="71">
      <c r="A71" s="60" t="n"/>
      <c r="B71" s="31" t="inlineStr">
        <is>
          <t>NOTE:</t>
        </is>
      </c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4" t="n"/>
      <c r="P71" s="3" t="n"/>
      <c r="Q71" s="33" t="n"/>
      <c r="R71" s="54" t="n"/>
      <c r="S71" s="17" t="n"/>
    </row>
    <row r="72" ht="15.6" customHeight="1">
      <c r="Q72" s="52" t="inlineStr">
        <is>
          <t>SQMT</t>
        </is>
      </c>
      <c r="R72" s="64" t="n"/>
      <c r="S72" s="18">
        <f>SUM(S8:S69)</f>
        <v/>
      </c>
    </row>
    <row r="74" ht="18" customHeight="1">
      <c r="B74" s="51" t="inlineStr">
        <is>
          <t xml:space="preserve">AFTER REPLASTIFICATION </t>
        </is>
      </c>
    </row>
    <row r="75">
      <c r="A75" s="28" t="n">
        <v>1</v>
      </c>
      <c r="B75" s="19" t="n"/>
      <c r="C75" s="15" t="n"/>
      <c r="D75" s="21" t="n"/>
      <c r="E75" s="22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3" t="n"/>
      <c r="R75" s="14" t="n"/>
      <c r="S75" s="17">
        <f>(I75*J75/10000)*K75</f>
        <v/>
      </c>
    </row>
    <row r="76">
      <c r="A76" s="60" t="n"/>
      <c r="B76" s="31" t="inlineStr">
        <is>
          <t>NOTE:</t>
        </is>
      </c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4" t="n"/>
      <c r="P76" s="3" t="n"/>
      <c r="Q76" s="33" t="n"/>
      <c r="R76" s="54" t="n"/>
      <c r="S76" s="17" t="n"/>
    </row>
    <row r="77">
      <c r="A77" s="28" t="n">
        <v>2</v>
      </c>
      <c r="B77" s="19" t="n"/>
      <c r="C77" s="15" t="n"/>
      <c r="D77" s="21" t="n"/>
      <c r="E77" s="23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3" t="n"/>
      <c r="R77" s="14" t="n"/>
      <c r="S77" s="17">
        <f>(I77*J77/10000)*K77</f>
        <v/>
      </c>
    </row>
    <row r="78">
      <c r="A78" s="60" t="n"/>
      <c r="B78" s="31" t="inlineStr">
        <is>
          <t>NOTE:</t>
        </is>
      </c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4" t="n"/>
      <c r="P78" s="3" t="n"/>
      <c r="Q78" s="33" t="n"/>
      <c r="R78" s="54" t="n"/>
    </row>
    <row r="79">
      <c r="A79" s="28" t="n">
        <v>3</v>
      </c>
      <c r="B79" s="19" t="n"/>
      <c r="C79" s="15" t="n"/>
      <c r="D79" s="24" t="n"/>
      <c r="E79" s="23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3" t="n"/>
      <c r="R79" s="14" t="n"/>
      <c r="S79" s="17">
        <f>(I79*J79/10000)*K79</f>
        <v/>
      </c>
    </row>
    <row r="80">
      <c r="A80" s="60" t="n"/>
      <c r="B80" s="31" t="inlineStr">
        <is>
          <t>NOTE:</t>
        </is>
      </c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4" t="n"/>
      <c r="P80" s="3" t="n"/>
      <c r="Q80" s="33" t="n"/>
      <c r="R80" s="54" t="n"/>
      <c r="S80" s="17" t="n"/>
    </row>
    <row r="81">
      <c r="A81" s="28" t="n">
        <v>4</v>
      </c>
      <c r="B81" s="19" t="n"/>
      <c r="C81" s="15" t="n"/>
      <c r="D81" s="24" t="n"/>
      <c r="E81" s="22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3" t="n"/>
      <c r="R81" s="14" t="n"/>
      <c r="S81" s="17">
        <f>(I81*J81/10000)*K81</f>
        <v/>
      </c>
    </row>
    <row r="82">
      <c r="A82" s="60" t="n"/>
      <c r="B82" s="31" t="inlineStr">
        <is>
          <t>NOTE:</t>
        </is>
      </c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4" t="n"/>
      <c r="P82" s="3" t="n"/>
      <c r="Q82" s="33" t="n"/>
      <c r="R82" s="54" t="n"/>
    </row>
    <row r="83">
      <c r="A83" s="28" t="n">
        <v>5</v>
      </c>
      <c r="B83" s="19" t="n"/>
      <c r="C83" s="15" t="n"/>
      <c r="D83" s="21" t="n"/>
      <c r="E83" s="23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3" t="n"/>
      <c r="R83" s="14" t="n"/>
      <c r="S83" s="17">
        <f>(I83*J83/10000)*K83</f>
        <v/>
      </c>
    </row>
    <row r="84">
      <c r="A84" s="60" t="n"/>
      <c r="B84" s="31" t="inlineStr">
        <is>
          <t>NOTE:</t>
        </is>
      </c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4" t="n"/>
      <c r="P84" s="3" t="n"/>
      <c r="Q84" s="33" t="n"/>
      <c r="R84" s="54" t="n"/>
    </row>
    <row r="85">
      <c r="A85" s="28" t="n">
        <v>6</v>
      </c>
      <c r="B85" s="19" t="n"/>
      <c r="C85" s="15" t="n"/>
      <c r="D85" s="24" t="n"/>
      <c r="E85" s="22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3" t="n"/>
      <c r="R85" s="14" t="n"/>
      <c r="S85" s="17">
        <f>(I85*J85/10000)*K85</f>
        <v/>
      </c>
    </row>
    <row r="86">
      <c r="A86" s="60" t="n"/>
      <c r="B86" s="31" t="inlineStr">
        <is>
          <t>NOTE:</t>
        </is>
      </c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4" t="n"/>
      <c r="P86" s="3" t="n"/>
      <c r="Q86" s="33" t="n"/>
      <c r="R86" s="54" t="n"/>
    </row>
    <row r="87">
      <c r="A87" s="28" t="n">
        <v>7</v>
      </c>
      <c r="B87" s="19" t="n"/>
      <c r="C87" s="15" t="n"/>
      <c r="D87" s="24" t="n"/>
      <c r="E87" s="22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3" t="n"/>
      <c r="R87" s="14" t="n"/>
      <c r="S87" s="17">
        <f>(I87*J87/10000)*K87</f>
        <v/>
      </c>
    </row>
    <row r="88">
      <c r="A88" s="60" t="n"/>
      <c r="B88" s="31" t="inlineStr">
        <is>
          <t>NOTE:</t>
        </is>
      </c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4" t="n"/>
      <c r="P88" s="3" t="n"/>
      <c r="Q88" s="33" t="n"/>
      <c r="R88" s="54" t="n"/>
    </row>
    <row r="89">
      <c r="A89" s="28" t="n">
        <v>8</v>
      </c>
      <c r="B89" s="19" t="n"/>
      <c r="C89" s="15" t="n"/>
      <c r="D89" s="24" t="n"/>
      <c r="E89" s="22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3" t="n"/>
      <c r="R89" s="14" t="n"/>
      <c r="S89" s="17">
        <f>(I89*J89/10000)*K89</f>
        <v/>
      </c>
    </row>
    <row r="90">
      <c r="A90" s="63" t="n"/>
      <c r="B90" s="31" t="inlineStr">
        <is>
          <t>NOTE:</t>
        </is>
      </c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4" t="n"/>
      <c r="P90" s="3" t="n"/>
      <c r="Q90" s="33" t="n"/>
      <c r="R90" s="54" t="n"/>
    </row>
    <row r="91">
      <c r="A91" s="63" t="n"/>
      <c r="B91" s="19" t="n"/>
      <c r="C91" s="15" t="n"/>
      <c r="D91" s="15" t="n"/>
      <c r="E91" s="16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3" t="n"/>
      <c r="R91" s="14" t="n"/>
      <c r="S91" s="17">
        <f>(I91*J91/10000)*K91</f>
        <v/>
      </c>
    </row>
    <row r="92">
      <c r="A92" s="63" t="n"/>
      <c r="B92" s="31" t="inlineStr">
        <is>
          <t>NOTE:</t>
        </is>
      </c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4" t="n"/>
      <c r="P92" s="3" t="n"/>
      <c r="Q92" s="33" t="n"/>
      <c r="R92" s="54" t="n"/>
    </row>
    <row r="93">
      <c r="A93" s="63" t="n"/>
      <c r="B93" s="19" t="n"/>
      <c r="C93" s="15" t="n"/>
      <c r="D93" s="15" t="n"/>
      <c r="E93" s="16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3" t="n"/>
      <c r="R93" s="14" t="n"/>
      <c r="S93" s="17">
        <f>(I93*J93/10000)*K93</f>
        <v/>
      </c>
    </row>
    <row r="94">
      <c r="A94" s="60" t="n"/>
      <c r="B94" s="31" t="inlineStr">
        <is>
          <t>NOTE:</t>
        </is>
      </c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4" t="n"/>
      <c r="P94" s="3" t="n"/>
      <c r="Q94" s="33" t="n"/>
      <c r="R94" s="54" t="n"/>
    </row>
    <row r="95">
      <c r="A95" s="28" t="n">
        <v>9</v>
      </c>
      <c r="B95" s="19" t="n"/>
      <c r="C95" s="15" t="n"/>
      <c r="D95" s="24" t="n"/>
      <c r="E95" s="22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3" t="n"/>
      <c r="R95" s="14" t="n"/>
      <c r="S95" s="17">
        <f>(I95*J95/10000)*K95</f>
        <v/>
      </c>
    </row>
    <row r="96">
      <c r="A96" s="63" t="n"/>
      <c r="B96" s="31" t="inlineStr">
        <is>
          <t>NOTE:</t>
        </is>
      </c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4" t="n"/>
      <c r="P96" s="3" t="n"/>
      <c r="Q96" s="33" t="n"/>
      <c r="R96" s="54" t="n"/>
    </row>
    <row r="97">
      <c r="A97" s="63" t="n"/>
      <c r="B97" s="19" t="n"/>
      <c r="C97" s="15" t="n"/>
      <c r="D97" s="15" t="n"/>
      <c r="E97" s="16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3" t="n"/>
      <c r="R97" s="14" t="n"/>
      <c r="S97" s="17">
        <f>(I97*J97/10000)*K97</f>
        <v/>
      </c>
    </row>
    <row r="98">
      <c r="A98" s="60" t="n"/>
      <c r="B98" s="31" t="inlineStr">
        <is>
          <t>NOTE:</t>
        </is>
      </c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4" t="n"/>
      <c r="P98" s="3" t="n"/>
      <c r="Q98" s="33" t="n"/>
      <c r="R98" s="54" t="n"/>
    </row>
    <row r="99">
      <c r="A99" s="28" t="n">
        <v>10</v>
      </c>
      <c r="B99" s="19" t="n"/>
      <c r="C99" s="15" t="n"/>
      <c r="D99" s="24" t="n"/>
      <c r="E99" s="22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3" t="n"/>
      <c r="R99" s="14" t="n"/>
      <c r="S99" s="17">
        <f>(I99*J99/10000)*K99</f>
        <v/>
      </c>
    </row>
    <row r="100">
      <c r="A100" s="60" t="n"/>
      <c r="B100" s="31" t="inlineStr">
        <is>
          <t>NOTE:</t>
        </is>
      </c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4" t="n"/>
      <c r="P100" s="3" t="n"/>
      <c r="Q100" s="33" t="n"/>
      <c r="R100" s="54" t="n"/>
    </row>
    <row r="101">
      <c r="A101" s="28" t="n">
        <v>11</v>
      </c>
      <c r="B101" s="19" t="n"/>
      <c r="C101" s="15" t="n"/>
      <c r="D101" s="24" t="n"/>
      <c r="E101" s="22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3" t="n"/>
      <c r="R101" s="14" t="n"/>
      <c r="S101" s="17">
        <f>(I101*J101/10000)*K101</f>
        <v/>
      </c>
    </row>
    <row r="102">
      <c r="A102" s="63" t="n"/>
      <c r="B102" s="31" t="inlineStr">
        <is>
          <t>NOTE:</t>
        </is>
      </c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4" t="n"/>
      <c r="P102" s="3" t="n"/>
      <c r="Q102" s="33" t="n"/>
      <c r="R102" s="54" t="n"/>
    </row>
    <row r="103">
      <c r="A103" s="63" t="n"/>
      <c r="B103" s="19" t="n"/>
      <c r="C103" s="15" t="n"/>
      <c r="D103" s="24" t="n"/>
      <c r="E103" s="22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3" t="n"/>
      <c r="R103" s="14" t="n"/>
      <c r="S103" s="17">
        <f>(I103*J103/10000)*K103</f>
        <v/>
      </c>
    </row>
    <row r="104">
      <c r="A104" s="60" t="n"/>
      <c r="B104" s="31" t="inlineStr">
        <is>
          <t>NOTE:</t>
        </is>
      </c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4" t="n"/>
      <c r="P104" s="3" t="n"/>
      <c r="Q104" s="33" t="n"/>
      <c r="R104" s="54" t="n"/>
    </row>
    <row r="105">
      <c r="A105" s="28" t="n">
        <v>12</v>
      </c>
      <c r="B105" s="19" t="n"/>
      <c r="C105" s="15" t="n"/>
      <c r="D105" s="24" t="n"/>
      <c r="E105" s="22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3" t="n"/>
      <c r="R105" s="14" t="n"/>
      <c r="S105" s="17">
        <f>(I105*J105/10000)*K105</f>
        <v/>
      </c>
    </row>
    <row r="106">
      <c r="A106" s="63" t="n"/>
      <c r="B106" s="31" t="inlineStr">
        <is>
          <t>NOTE:</t>
        </is>
      </c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4" t="n"/>
      <c r="P106" s="3" t="n"/>
      <c r="Q106" s="33" t="n"/>
      <c r="R106" s="54" t="n"/>
    </row>
    <row r="107">
      <c r="A107" s="63" t="n"/>
      <c r="B107" s="19" t="n"/>
      <c r="C107" s="15" t="n"/>
      <c r="D107" s="24" t="n"/>
      <c r="E107" s="22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3" t="n"/>
      <c r="R107" s="14" t="n"/>
      <c r="S107" s="17">
        <f>(I107*J107/10000)*K107</f>
        <v/>
      </c>
    </row>
    <row r="108">
      <c r="A108" s="60" t="n"/>
      <c r="B108" s="31" t="inlineStr">
        <is>
          <t>NOTE:</t>
        </is>
      </c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4" t="n"/>
      <c r="P108" s="3" t="n"/>
      <c r="Q108" s="33" t="n"/>
      <c r="R108" s="54" t="n"/>
    </row>
    <row r="109">
      <c r="A109" s="28" t="n">
        <v>13</v>
      </c>
      <c r="B109" s="19" t="n"/>
      <c r="C109" s="15" t="n"/>
      <c r="D109" s="24" t="n"/>
      <c r="E109" s="22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3" t="n"/>
      <c r="R109" s="14" t="n"/>
      <c r="S109" s="17">
        <f>(I109*J109/10000)*K109</f>
        <v/>
      </c>
    </row>
    <row r="110">
      <c r="A110" s="63" t="n"/>
      <c r="B110" s="31" t="inlineStr">
        <is>
          <t>NOTE:</t>
        </is>
      </c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4" t="n"/>
      <c r="P110" s="3" t="n"/>
      <c r="Q110" s="33" t="n"/>
      <c r="R110" s="54" t="n"/>
    </row>
    <row r="111">
      <c r="A111" s="63" t="n"/>
      <c r="B111" s="19" t="n"/>
      <c r="C111" s="15" t="n"/>
      <c r="D111" s="24" t="n"/>
      <c r="E111" s="22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3" t="n"/>
      <c r="R111" s="14" t="n"/>
      <c r="S111" s="17">
        <f>(I111*J111/10000)*K111</f>
        <v/>
      </c>
    </row>
    <row r="112">
      <c r="A112" s="63" t="n"/>
      <c r="B112" s="31" t="inlineStr">
        <is>
          <t>NOTE:</t>
        </is>
      </c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4" t="n"/>
      <c r="P112" s="3" t="n"/>
      <c r="Q112" s="33" t="n"/>
      <c r="R112" s="54" t="n"/>
    </row>
    <row r="113">
      <c r="A113" s="63" t="n"/>
      <c r="B113" s="19" t="n"/>
      <c r="C113" s="15" t="n"/>
      <c r="D113" s="24" t="n"/>
      <c r="E113" s="22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3" t="n"/>
      <c r="R113" s="14" t="n"/>
      <c r="S113" s="17">
        <f>(I113*J113/10000)*K113</f>
        <v/>
      </c>
    </row>
    <row r="114">
      <c r="A114" s="60" t="n"/>
      <c r="B114" s="31" t="inlineStr">
        <is>
          <t>NOTE:</t>
        </is>
      </c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4" t="n"/>
      <c r="P114" s="3" t="n"/>
      <c r="Q114" s="33" t="n"/>
      <c r="R114" s="54" t="n"/>
    </row>
    <row r="115">
      <c r="A115" s="28" t="n">
        <v>14</v>
      </c>
      <c r="B115" s="19" t="n"/>
      <c r="C115" s="15" t="n"/>
      <c r="D115" s="24" t="n"/>
      <c r="E115" s="22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3" t="n"/>
      <c r="R115" s="14" t="n"/>
      <c r="S115" s="17">
        <f>(I115*J115/10000)*K115</f>
        <v/>
      </c>
    </row>
    <row r="116">
      <c r="A116" s="63" t="n"/>
      <c r="B116" s="31" t="inlineStr">
        <is>
          <t>NOTE:</t>
        </is>
      </c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4" t="n"/>
      <c r="P116" s="3" t="n"/>
      <c r="Q116" s="33" t="n"/>
      <c r="R116" s="54" t="n"/>
    </row>
    <row r="117">
      <c r="A117" s="63" t="n"/>
      <c r="B117" s="19" t="n"/>
      <c r="C117" s="15" t="n"/>
      <c r="D117" s="24" t="n"/>
      <c r="E117" s="22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3" t="n"/>
      <c r="R117" s="14" t="n"/>
      <c r="S117" s="17">
        <f>(I117*J117/10000)*K117</f>
        <v/>
      </c>
    </row>
    <row r="118">
      <c r="A118" s="60" t="n"/>
      <c r="B118" s="31" t="inlineStr">
        <is>
          <t>NOTE:</t>
        </is>
      </c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4" t="n"/>
      <c r="P118" s="3" t="n"/>
      <c r="Q118" s="33" t="n"/>
      <c r="R118" s="54" t="n"/>
    </row>
    <row r="119" ht="15.6" customHeight="1">
      <c r="Q119" s="30" t="inlineStr">
        <is>
          <t>SQMT</t>
        </is>
      </c>
      <c r="R119" s="64" t="n"/>
      <c r="S119" s="18">
        <f>SUM(S75:S118)</f>
        <v/>
      </c>
    </row>
  </sheetData>
  <mergeCells count="148">
    <mergeCell ref="B41:O41"/>
    <mergeCell ref="B35:O35"/>
    <mergeCell ref="B106:O106"/>
    <mergeCell ref="Q112:R112"/>
    <mergeCell ref="B25:O25"/>
    <mergeCell ref="B90:O90"/>
    <mergeCell ref="P6:P7"/>
    <mergeCell ref="Q71:R71"/>
    <mergeCell ref="B27:O27"/>
    <mergeCell ref="Q51:R51"/>
    <mergeCell ref="A105:A108"/>
    <mergeCell ref="A56:A59"/>
    <mergeCell ref="A99:A100"/>
    <mergeCell ref="B11:O11"/>
    <mergeCell ref="Q88:R88"/>
    <mergeCell ref="A85:A86"/>
    <mergeCell ref="B6:B7"/>
    <mergeCell ref="B74:P74"/>
    <mergeCell ref="B53:O53"/>
    <mergeCell ref="A22:A23"/>
    <mergeCell ref="Q90:R90"/>
    <mergeCell ref="H5:J5"/>
    <mergeCell ref="A46:A51"/>
    <mergeCell ref="B29:O29"/>
    <mergeCell ref="B116:O116"/>
    <mergeCell ref="A77:A78"/>
    <mergeCell ref="B37:O37"/>
    <mergeCell ref="Q49:R49"/>
    <mergeCell ref="B108:O108"/>
    <mergeCell ref="Q27:R27"/>
    <mergeCell ref="Q110:R110"/>
    <mergeCell ref="B84:O84"/>
    <mergeCell ref="A115:A118"/>
    <mergeCell ref="Q119:R119"/>
    <mergeCell ref="B118:O118"/>
    <mergeCell ref="Q17:R17"/>
    <mergeCell ref="Q11:R11"/>
    <mergeCell ref="Q76:R76"/>
    <mergeCell ref="B15:O15"/>
    <mergeCell ref="K6:K7"/>
    <mergeCell ref="B80:O80"/>
    <mergeCell ref="C6:C7"/>
    <mergeCell ref="A79:A80"/>
    <mergeCell ref="I6:J6"/>
    <mergeCell ref="Q116:R116"/>
    <mergeCell ref="Q37:R37"/>
    <mergeCell ref="Q6:R7"/>
    <mergeCell ref="A54:A55"/>
    <mergeCell ref="Q39:R39"/>
    <mergeCell ref="A87:A88"/>
    <mergeCell ref="B96:O96"/>
    <mergeCell ref="B71:O71"/>
    <mergeCell ref="Q102:R102"/>
    <mergeCell ref="B43:O43"/>
    <mergeCell ref="Q23:R23"/>
    <mergeCell ref="B98:O98"/>
    <mergeCell ref="Q31:R31"/>
    <mergeCell ref="B1:R1"/>
    <mergeCell ref="A89:A94"/>
    <mergeCell ref="A32:A35"/>
    <mergeCell ref="B88:O88"/>
    <mergeCell ref="B57:O57"/>
    <mergeCell ref="A8:A9"/>
    <mergeCell ref="B82:O82"/>
    <mergeCell ref="B17:O17"/>
    <mergeCell ref="Q15:R15"/>
    <mergeCell ref="L6:L7"/>
    <mergeCell ref="B19:O19"/>
    <mergeCell ref="N6:N7"/>
    <mergeCell ref="A10:A11"/>
    <mergeCell ref="B9:O9"/>
    <mergeCell ref="A52:A53"/>
    <mergeCell ref="B92:O92"/>
    <mergeCell ref="A38:A41"/>
    <mergeCell ref="B76:O76"/>
    <mergeCell ref="Q104:R104"/>
    <mergeCell ref="B45:O45"/>
    <mergeCell ref="B94:O94"/>
    <mergeCell ref="Q100:R100"/>
    <mergeCell ref="Q106:R106"/>
    <mergeCell ref="B47:O47"/>
    <mergeCell ref="B59:O59"/>
    <mergeCell ref="A36:A37"/>
    <mergeCell ref="A6:A7"/>
    <mergeCell ref="B31:O31"/>
    <mergeCell ref="Q92:R92"/>
    <mergeCell ref="B21:O21"/>
    <mergeCell ref="B39:O39"/>
    <mergeCell ref="A12:A13"/>
    <mergeCell ref="Q72:R72"/>
    <mergeCell ref="G6:G7"/>
    <mergeCell ref="Q94:R94"/>
    <mergeCell ref="A95:A98"/>
    <mergeCell ref="B23:O23"/>
    <mergeCell ref="A66:A71"/>
    <mergeCell ref="A14:A15"/>
    <mergeCell ref="Q69:R69"/>
    <mergeCell ref="Q78:R78"/>
    <mergeCell ref="B13:O13"/>
    <mergeCell ref="A101:A104"/>
    <mergeCell ref="Q114:R114"/>
    <mergeCell ref="Q98:R98"/>
    <mergeCell ref="Q80:R80"/>
    <mergeCell ref="B65:O65"/>
    <mergeCell ref="A83:A84"/>
    <mergeCell ref="A28:A31"/>
    <mergeCell ref="Q41:R41"/>
    <mergeCell ref="B114:O114"/>
    <mergeCell ref="B63:O63"/>
    <mergeCell ref="D6:D7"/>
    <mergeCell ref="A24:A27"/>
    <mergeCell ref="F6:F7"/>
    <mergeCell ref="Q47:R47"/>
    <mergeCell ref="B110:O110"/>
    <mergeCell ref="Q96:R96"/>
    <mergeCell ref="Q25:R25"/>
    <mergeCell ref="Q43:R43"/>
    <mergeCell ref="B100:O100"/>
    <mergeCell ref="H6:H7"/>
    <mergeCell ref="Q33:R33"/>
    <mergeCell ref="A60:A65"/>
    <mergeCell ref="A75:A76"/>
    <mergeCell ref="B102:O102"/>
    <mergeCell ref="Q82:R82"/>
    <mergeCell ref="B86:O86"/>
    <mergeCell ref="Q118:R118"/>
    <mergeCell ref="A16:A21"/>
    <mergeCell ref="M6:M7"/>
    <mergeCell ref="E6:E7"/>
    <mergeCell ref="B67:O67"/>
    <mergeCell ref="Q19:R19"/>
    <mergeCell ref="B61:O61"/>
    <mergeCell ref="B69:O69"/>
    <mergeCell ref="A42:A43"/>
    <mergeCell ref="B78:O78"/>
    <mergeCell ref="Q84:R84"/>
    <mergeCell ref="B112:O112"/>
    <mergeCell ref="A81:A82"/>
    <mergeCell ref="A109:A114"/>
    <mergeCell ref="A44:A45"/>
    <mergeCell ref="Q108:R108"/>
    <mergeCell ref="B49:O49"/>
    <mergeCell ref="Q86:R86"/>
    <mergeCell ref="B55:O55"/>
    <mergeCell ref="B33:O33"/>
    <mergeCell ref="B104:O104"/>
    <mergeCell ref="B51:O51"/>
    <mergeCell ref="O6:O7"/>
  </mergeCells>
  <printOptions horizontalCentered="1" verticalCentered="1"/>
  <pageMargins left="0.1968503937007874" right="0.1968503937007874" top="0.3937007874015748" bottom="0.1968503937007874" header="0.3149606299212598" footer="0.3149606299212598"/>
  <pageSetup orientation="landscape" paperSize="9" scale="59" fitToHeight="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Lakshminath</dc:creator>
  <dcterms:created xsi:type="dcterms:W3CDTF">2015-01-27T12:01:06Z</dcterms:created>
  <dcterms:modified xsi:type="dcterms:W3CDTF">2026-07-19T13:37:25Z</dcterms:modified>
  <cp:lastModifiedBy>Bharath Paritala</cp:lastModifiedBy>
  <cp:lastPrinted>2017-08-05T08:34:46Z</cp:lastPrinted>
</cp:coreProperties>
</file>